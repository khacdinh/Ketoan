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HATKYCHUNG" state="visible" r:id="rId4"/>
  </sheets>
  <calcPr calcId="171027"/>
</workbook>
</file>

<file path=xl/sharedStrings.xml><?xml version="1.0" encoding="utf-8"?>
<sst xmlns="http://schemas.openxmlformats.org/spreadsheetml/2006/main" count="326" uniqueCount="69">
  <si>
    <t>Ngày</t>
  </si>
  <si>
    <t>Mã CT</t>
  </si>
  <si>
    <t>Mã Nhà</t>
  </si>
  <si>
    <t>Hạng mục</t>
  </si>
  <si>
    <t>Nhóm CP</t>
  </si>
  <si>
    <t>Loại CP</t>
  </si>
  <si>
    <t>Mã VT</t>
  </si>
  <si>
    <t>Tên vật tư</t>
  </si>
  <si>
    <t>ĐVT</t>
  </si>
  <si>
    <t>Diễn giải / Quy cách</t>
  </si>
  <si>
    <t>Số lượng</t>
  </si>
  <si>
    <t>Đơn giá</t>
  </si>
  <si>
    <t>Thành tiền</t>
  </si>
  <si>
    <t>Mã NCC</t>
  </si>
  <si>
    <t>Tên NCC</t>
  </si>
  <si>
    <t>Số phiếu</t>
  </si>
  <si>
    <t>Ghi chú</t>
  </si>
  <si>
    <t>Nguồn</t>
  </si>
  <si>
    <t>111THANHTHUY</t>
  </si>
  <si>
    <t>Bê tông</t>
  </si>
  <si>
    <t/>
  </si>
  <si>
    <t>Vật tư</t>
  </si>
  <si>
    <t>BT-PHUGIAR7</t>
  </si>
  <si>
    <t>Phụ gia R7</t>
  </si>
  <si>
    <t>m3</t>
  </si>
  <si>
    <t>NCC_SongHan</t>
  </si>
  <si>
    <t>Sông Hàn</t>
  </si>
  <si>
    <t>Khôi phục từ CHI_TIET_THEO_NHOM cũ</t>
  </si>
  <si>
    <t>khoi phuc</t>
  </si>
  <si>
    <t>BT-BOMDUN</t>
  </si>
  <si>
    <t>BÊ tông bơm/đùn</t>
  </si>
  <si>
    <t>khoản</t>
  </si>
  <si>
    <t>Vật tư VLXD</t>
  </si>
  <si>
    <t>VL-XIMANGHOAN</t>
  </si>
  <si>
    <t>XI MĂNG HOÀNG MAI</t>
  </si>
  <si>
    <t>TẤN</t>
  </si>
  <si>
    <t>NCC_VuongThinh</t>
  </si>
  <si>
    <t>Vương Thịnh</t>
  </si>
  <si>
    <t>VL-CATTO</t>
  </si>
  <si>
    <t>CÁT TÔ</t>
  </si>
  <si>
    <t>Dịch vụ-Phí</t>
  </si>
  <si>
    <t>VL-XERAC</t>
  </si>
  <si>
    <t xml:space="preserve"> xe rác</t>
  </si>
  <si>
    <t>XE</t>
  </si>
  <si>
    <t>VL-GACHONG</t>
  </si>
  <si>
    <t>GẠCH ỐNG</t>
  </si>
  <si>
    <t>VIÊN</t>
  </si>
  <si>
    <t>Nhân công</t>
  </si>
  <si>
    <t>bồi dưỡng phu dời gạch</t>
  </si>
  <si>
    <t>VL-CATXAY</t>
  </si>
  <si>
    <t>CÁT XÂY</t>
  </si>
  <si>
    <t>xe lớn</t>
  </si>
  <si>
    <t>VL-DA12</t>
  </si>
  <si>
    <t>ĐÁ 1*2</t>
  </si>
  <si>
    <t>Nhân công điện nước</t>
  </si>
  <si>
    <t>DIENNUOCNC</t>
  </si>
  <si>
    <t>NCC_Quân</t>
  </si>
  <si>
    <t>Quân điện nước</t>
  </si>
  <si>
    <t>BT-M250R7</t>
  </si>
  <si>
    <t>Khôi phục từ CHI_TIET_THEO_NHOM cũ - NCC suy ra từ số công nợ lưu sẵn cũ (Sông Hàn 241.645.000), cần kiểm tra</t>
  </si>
  <si>
    <t>Nhân công thợ nề</t>
  </si>
  <si>
    <t>NỀ-CONGNE</t>
  </si>
  <si>
    <t>NCC_Hau</t>
  </si>
  <si>
    <t>Hậu thầu</t>
  </si>
  <si>
    <t>Vật tư điện nước</t>
  </si>
  <si>
    <t>DNUOC-VUTHANH</t>
  </si>
  <si>
    <t>Điện nước Vũ Thanh</t>
  </si>
  <si>
    <t>NCC_VUTHANH</t>
  </si>
  <si>
    <t>Vũ Thanh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</si>
</sst>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3" fontId="0" fillId="0" borderId="0" xfId="0" applyNumberFormat="1"/>
    <xf numFmtId="0" fontId="1" fillId="0" borderId="0" xfId="0" applyFont="1"/>
    <xf numFmtId="164" fontId="1" fillId="0" borderId="0" xfId="0" applyNumberFormat="1" applyFont="1"/>
    <xf numFmtId="3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3"/>
  <sheetFormatPr defaultRowHeight="15" outlineLevelRow="0" outlineLevelCol="0" x14ac:dyDescent="55"/>
  <cols>
    <col min="1" max="1" width="12" style="1" customWidth="1"/>
    <col min="2" max="3" width="14" customWidth="1"/>
    <col min="4" max="4" width="24" customWidth="1"/>
    <col min="5" max="5" width="8" customWidth="1"/>
    <col min="6" max="6" width="10" customWidth="1"/>
    <col min="7" max="7" width="18" customWidth="1"/>
    <col min="8" max="8" width="24" customWidth="1"/>
    <col min="9" max="9" width="8" customWidth="1"/>
    <col min="10" max="10" width="26" customWidth="1"/>
    <col min="11" max="11" width="10" customWidth="1"/>
    <col min="12" max="12" width="12" style="2" customWidth="1"/>
    <col min="13" max="13" width="14" style="2" customWidth="1"/>
    <col min="14" max="15" width="16" customWidth="1"/>
    <col min="16" max="16" width="8" customWidth="1"/>
    <col min="17" max="17" width="40" customWidth="1"/>
    <col min="18" max="18" width="10" customWidth="1"/>
  </cols>
  <sheetData>
    <row r="1" spans="1:18" s="3" customFormat="1" x14ac:dyDescent="0.25">
      <c r="A1" s="4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5" t="s">
        <v>11</v>
      </c>
      <c r="M1" s="5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</row>
    <row r="2" spans="1:18" x14ac:dyDescent="0.25">
      <c r="A2" s="1">
        <v>46249</v>
      </c>
      <c r="B2" t="s">
        <v>18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20</v>
      </c>
      <c r="K2">
        <v>12</v>
      </c>
      <c r="L2" s="2">
        <v>60000</v>
      </c>
      <c r="M2" s="2">
        <f>K2*L2</f>
        <v>720000</v>
      </c>
      <c r="N2" t="s">
        <v>25</v>
      </c>
      <c r="O2" t="s">
        <v>26</v>
      </c>
      <c r="P2" t="s">
        <v>20</v>
      </c>
      <c r="Q2" t="s">
        <v>27</v>
      </c>
      <c r="R2" t="s">
        <v>28</v>
      </c>
    </row>
    <row r="3" spans="1:18" x14ac:dyDescent="0.25">
      <c r="A3" s="1">
        <v>46249</v>
      </c>
      <c r="B3" t="s">
        <v>18</v>
      </c>
      <c r="C3" t="s">
        <v>18</v>
      </c>
      <c r="D3" t="s">
        <v>19</v>
      </c>
      <c r="E3" t="s">
        <v>20</v>
      </c>
      <c r="F3" t="s">
        <v>21</v>
      </c>
      <c r="G3" t="s">
        <v>29</v>
      </c>
      <c r="H3" t="s">
        <v>30</v>
      </c>
      <c r="I3" t="s">
        <v>31</v>
      </c>
      <c r="J3" t="s">
        <v>20</v>
      </c>
      <c r="K3">
        <v>1</v>
      </c>
      <c r="L3" s="2">
        <v>3500000</v>
      </c>
      <c r="M3" s="2">
        <f>K3*L3</f>
        <v>3500000</v>
      </c>
      <c r="N3" t="s">
        <v>25</v>
      </c>
      <c r="O3" t="s">
        <v>26</v>
      </c>
      <c r="P3" t="s">
        <v>20</v>
      </c>
      <c r="Q3" t="s">
        <v>27</v>
      </c>
      <c r="R3" t="s">
        <v>28</v>
      </c>
    </row>
    <row r="4" spans="1:18" x14ac:dyDescent="0.25">
      <c r="A4" s="1">
        <v>46238</v>
      </c>
      <c r="B4" t="s">
        <v>18</v>
      </c>
      <c r="C4" t="s">
        <v>18</v>
      </c>
      <c r="D4" t="s">
        <v>32</v>
      </c>
      <c r="E4" t="s">
        <v>20</v>
      </c>
      <c r="F4" t="s">
        <v>21</v>
      </c>
      <c r="G4" t="s">
        <v>33</v>
      </c>
      <c r="H4" t="s">
        <v>34</v>
      </c>
      <c r="I4" t="s">
        <v>35</v>
      </c>
      <c r="J4" t="s">
        <v>20</v>
      </c>
      <c r="K4">
        <v>4</v>
      </c>
      <c r="L4" s="2">
        <v>1870000</v>
      </c>
      <c r="M4" s="2">
        <f>K4*L4</f>
        <v>7480000</v>
      </c>
      <c r="N4" t="s">
        <v>36</v>
      </c>
      <c r="O4" t="s">
        <v>37</v>
      </c>
      <c r="P4" t="s">
        <v>20</v>
      </c>
      <c r="Q4" t="s">
        <v>27</v>
      </c>
      <c r="R4" t="s">
        <v>28</v>
      </c>
    </row>
    <row r="5" spans="1:18" x14ac:dyDescent="0.25">
      <c r="A5" s="1">
        <v>46238</v>
      </c>
      <c r="B5" t="s">
        <v>18</v>
      </c>
      <c r="C5" t="s">
        <v>18</v>
      </c>
      <c r="D5" t="s">
        <v>32</v>
      </c>
      <c r="E5" t="s">
        <v>20</v>
      </c>
      <c r="F5" t="s">
        <v>21</v>
      </c>
      <c r="G5" t="s">
        <v>38</v>
      </c>
      <c r="H5" t="s">
        <v>39</v>
      </c>
      <c r="I5" t="s">
        <v>24</v>
      </c>
      <c r="J5" t="s">
        <v>20</v>
      </c>
      <c r="K5">
        <v>2.5</v>
      </c>
      <c r="L5" s="2">
        <v>580000</v>
      </c>
      <c r="M5" s="2">
        <f>K5*L5</f>
        <v>1450000</v>
      </c>
      <c r="N5" t="s">
        <v>36</v>
      </c>
      <c r="O5" t="s">
        <v>37</v>
      </c>
      <c r="P5" t="s">
        <v>20</v>
      </c>
      <c r="Q5" t="s">
        <v>27</v>
      </c>
      <c r="R5" t="s">
        <v>28</v>
      </c>
    </row>
    <row r="6" spans="1:18" x14ac:dyDescent="0.25">
      <c r="A6" s="1">
        <v>46238</v>
      </c>
      <c r="B6" t="s">
        <v>18</v>
      </c>
      <c r="C6" t="s">
        <v>18</v>
      </c>
      <c r="D6" t="s">
        <v>32</v>
      </c>
      <c r="E6" t="s">
        <v>20</v>
      </c>
      <c r="F6" t="s">
        <v>21</v>
      </c>
      <c r="G6" t="s">
        <v>38</v>
      </c>
      <c r="H6" t="s">
        <v>39</v>
      </c>
      <c r="I6" t="s">
        <v>24</v>
      </c>
      <c r="J6" t="s">
        <v>20</v>
      </c>
      <c r="K6">
        <v>2.5</v>
      </c>
      <c r="L6" s="2">
        <v>580000</v>
      </c>
      <c r="M6" s="2">
        <f>K6*L6</f>
        <v>1450000</v>
      </c>
      <c r="N6" t="s">
        <v>36</v>
      </c>
      <c r="O6" t="s">
        <v>37</v>
      </c>
      <c r="P6" t="s">
        <v>20</v>
      </c>
      <c r="Q6" t="s">
        <v>27</v>
      </c>
      <c r="R6" t="s">
        <v>28</v>
      </c>
    </row>
    <row r="7" spans="1:18" x14ac:dyDescent="0.25">
      <c r="A7" s="1">
        <v>46238</v>
      </c>
      <c r="B7" t="s">
        <v>18</v>
      </c>
      <c r="C7" t="s">
        <v>18</v>
      </c>
      <c r="D7" t="s">
        <v>32</v>
      </c>
      <c r="E7" t="s">
        <v>20</v>
      </c>
      <c r="F7" t="s">
        <v>21</v>
      </c>
      <c r="G7" t="s">
        <v>38</v>
      </c>
      <c r="H7" t="s">
        <v>39</v>
      </c>
      <c r="I7" t="s">
        <v>24</v>
      </c>
      <c r="J7" t="s">
        <v>20</v>
      </c>
      <c r="K7">
        <v>2.5</v>
      </c>
      <c r="L7" s="2">
        <v>580000</v>
      </c>
      <c r="M7" s="2">
        <f>K7*L7</f>
        <v>1450000</v>
      </c>
      <c r="N7" t="s">
        <v>36</v>
      </c>
      <c r="O7" t="s">
        <v>37</v>
      </c>
      <c r="P7" t="s">
        <v>20</v>
      </c>
      <c r="Q7" t="s">
        <v>27</v>
      </c>
      <c r="R7" t="s">
        <v>28</v>
      </c>
    </row>
    <row r="8" spans="1:18" x14ac:dyDescent="0.25">
      <c r="A8" s="1">
        <v>46245</v>
      </c>
      <c r="B8" t="s">
        <v>18</v>
      </c>
      <c r="C8" t="s">
        <v>18</v>
      </c>
      <c r="D8" t="s">
        <v>32</v>
      </c>
      <c r="E8" t="s">
        <v>20</v>
      </c>
      <c r="F8" t="s">
        <v>40</v>
      </c>
      <c r="G8" t="s">
        <v>41</v>
      </c>
      <c r="H8" t="s">
        <v>42</v>
      </c>
      <c r="I8" t="s">
        <v>43</v>
      </c>
      <c r="J8" t="s">
        <v>20</v>
      </c>
      <c r="K8">
        <v>1</v>
      </c>
      <c r="L8" s="2">
        <v>800000</v>
      </c>
      <c r="M8" s="2">
        <f>K8*L8</f>
        <v>800000</v>
      </c>
      <c r="N8" t="s">
        <v>36</v>
      </c>
      <c r="O8" t="s">
        <v>37</v>
      </c>
      <c r="P8" t="s">
        <v>20</v>
      </c>
      <c r="Q8" t="s">
        <v>27</v>
      </c>
      <c r="R8" t="s">
        <v>28</v>
      </c>
    </row>
    <row r="9" spans="1:18" x14ac:dyDescent="0.25">
      <c r="A9" s="1">
        <v>46247</v>
      </c>
      <c r="B9" t="s">
        <v>18</v>
      </c>
      <c r="C9" t="s">
        <v>18</v>
      </c>
      <c r="D9" t="s">
        <v>32</v>
      </c>
      <c r="E9" t="s">
        <v>20</v>
      </c>
      <c r="F9" t="s">
        <v>21</v>
      </c>
      <c r="G9" t="s">
        <v>38</v>
      </c>
      <c r="H9" t="s">
        <v>39</v>
      </c>
      <c r="I9" t="s">
        <v>24</v>
      </c>
      <c r="J9" t="s">
        <v>20</v>
      </c>
      <c r="K9">
        <v>3</v>
      </c>
      <c r="L9" s="2">
        <v>580000</v>
      </c>
      <c r="M9" s="2">
        <f>K9*L9</f>
        <v>1740000</v>
      </c>
      <c r="N9" t="s">
        <v>36</v>
      </c>
      <c r="O9" t="s">
        <v>37</v>
      </c>
      <c r="P9" t="s">
        <v>20</v>
      </c>
      <c r="Q9" t="s">
        <v>27</v>
      </c>
      <c r="R9" t="s">
        <v>28</v>
      </c>
    </row>
    <row r="10" spans="1:18" x14ac:dyDescent="0.25">
      <c r="A10" s="1">
        <v>46249</v>
      </c>
      <c r="B10" t="s">
        <v>18</v>
      </c>
      <c r="C10" t="s">
        <v>18</v>
      </c>
      <c r="D10" t="s">
        <v>32</v>
      </c>
      <c r="E10" t="s">
        <v>20</v>
      </c>
      <c r="F10" t="s">
        <v>21</v>
      </c>
      <c r="G10" t="s">
        <v>44</v>
      </c>
      <c r="H10" t="s">
        <v>45</v>
      </c>
      <c r="I10" t="s">
        <v>46</v>
      </c>
      <c r="J10" t="s">
        <v>20</v>
      </c>
      <c r="K10">
        <v>8000</v>
      </c>
      <c r="L10" s="2">
        <v>2300</v>
      </c>
      <c r="M10" s="2">
        <f>K10*L10</f>
        <v>18400000</v>
      </c>
      <c r="N10" t="s">
        <v>36</v>
      </c>
      <c r="O10" t="s">
        <v>37</v>
      </c>
      <c r="P10" t="s">
        <v>20</v>
      </c>
      <c r="Q10" t="s">
        <v>27</v>
      </c>
      <c r="R10" t="s">
        <v>28</v>
      </c>
    </row>
    <row r="11" spans="1:18" x14ac:dyDescent="0.25">
      <c r="A11" s="1">
        <v>46249</v>
      </c>
      <c r="B11" t="s">
        <v>18</v>
      </c>
      <c r="C11" t="s">
        <v>18</v>
      </c>
      <c r="D11" t="s">
        <v>32</v>
      </c>
      <c r="E11" t="s">
        <v>20</v>
      </c>
      <c r="F11" t="s">
        <v>47</v>
      </c>
      <c r="G11" t="s">
        <v>44</v>
      </c>
      <c r="H11" t="s">
        <v>45</v>
      </c>
      <c r="I11" t="s">
        <v>46</v>
      </c>
      <c r="J11" t="s">
        <v>48</v>
      </c>
      <c r="K11">
        <v>1</v>
      </c>
      <c r="L11" s="2">
        <v>600000</v>
      </c>
      <c r="M11" s="2">
        <f>K11*L11</f>
        <v>600000</v>
      </c>
      <c r="N11" t="s">
        <v>36</v>
      </c>
      <c r="O11" t="s">
        <v>37</v>
      </c>
      <c r="P11" t="s">
        <v>20</v>
      </c>
      <c r="Q11" t="s">
        <v>27</v>
      </c>
      <c r="R11" t="s">
        <v>28</v>
      </c>
    </row>
    <row r="12" spans="1:18" x14ac:dyDescent="0.25">
      <c r="A12" s="1">
        <v>46254</v>
      </c>
      <c r="B12" t="s">
        <v>18</v>
      </c>
      <c r="C12" t="s">
        <v>18</v>
      </c>
      <c r="D12" t="s">
        <v>32</v>
      </c>
      <c r="E12" t="s">
        <v>20</v>
      </c>
      <c r="F12" t="s">
        <v>21</v>
      </c>
      <c r="G12" t="s">
        <v>49</v>
      </c>
      <c r="H12" t="s">
        <v>50</v>
      </c>
      <c r="I12" t="s">
        <v>24</v>
      </c>
      <c r="J12" t="s">
        <v>20</v>
      </c>
      <c r="K12">
        <v>2.5</v>
      </c>
      <c r="L12" s="2">
        <v>580000</v>
      </c>
      <c r="M12" s="2">
        <f>K12*L12</f>
        <v>1450000</v>
      </c>
      <c r="N12" t="s">
        <v>36</v>
      </c>
      <c r="O12" t="s">
        <v>37</v>
      </c>
      <c r="P12" t="s">
        <v>20</v>
      </c>
      <c r="Q12" t="s">
        <v>27</v>
      </c>
      <c r="R12" t="s">
        <v>28</v>
      </c>
    </row>
    <row r="13" spans="1:18" x14ac:dyDescent="0.25">
      <c r="A13" s="1">
        <v>46256</v>
      </c>
      <c r="B13" t="s">
        <v>18</v>
      </c>
      <c r="C13" t="s">
        <v>18</v>
      </c>
      <c r="D13" t="s">
        <v>32</v>
      </c>
      <c r="E13" t="s">
        <v>20</v>
      </c>
      <c r="F13" t="s">
        <v>21</v>
      </c>
      <c r="G13" t="s">
        <v>33</v>
      </c>
      <c r="H13" t="s">
        <v>34</v>
      </c>
      <c r="I13" t="s">
        <v>35</v>
      </c>
      <c r="J13" t="s">
        <v>20</v>
      </c>
      <c r="K13">
        <v>4</v>
      </c>
      <c r="L13" s="2">
        <v>1870000</v>
      </c>
      <c r="M13" s="2">
        <f>K13*L13</f>
        <v>7480000</v>
      </c>
      <c r="N13" t="s">
        <v>36</v>
      </c>
      <c r="O13" t="s">
        <v>37</v>
      </c>
      <c r="P13" t="s">
        <v>20</v>
      </c>
      <c r="Q13" t="s">
        <v>27</v>
      </c>
      <c r="R13" t="s">
        <v>28</v>
      </c>
    </row>
    <row r="14" spans="1:18" x14ac:dyDescent="0.25">
      <c r="A14" s="1">
        <v>46256</v>
      </c>
      <c r="B14" t="s">
        <v>18</v>
      </c>
      <c r="C14" t="s">
        <v>18</v>
      </c>
      <c r="D14" t="s">
        <v>32</v>
      </c>
      <c r="E14" t="s">
        <v>20</v>
      </c>
      <c r="F14" t="s">
        <v>21</v>
      </c>
      <c r="G14" t="s">
        <v>49</v>
      </c>
      <c r="H14" t="s">
        <v>50</v>
      </c>
      <c r="I14" t="s">
        <v>24</v>
      </c>
      <c r="J14" t="s">
        <v>20</v>
      </c>
      <c r="K14">
        <v>3</v>
      </c>
      <c r="L14" s="2">
        <v>580000</v>
      </c>
      <c r="M14" s="2">
        <f>K14*L14</f>
        <v>1740000</v>
      </c>
      <c r="N14" t="s">
        <v>36</v>
      </c>
      <c r="O14" t="s">
        <v>37</v>
      </c>
      <c r="P14" t="s">
        <v>20</v>
      </c>
      <c r="Q14" t="s">
        <v>27</v>
      </c>
      <c r="R14" t="s">
        <v>28</v>
      </c>
    </row>
    <row r="15" spans="1:18" x14ac:dyDescent="0.25">
      <c r="A15" s="1">
        <v>46261</v>
      </c>
      <c r="B15" t="s">
        <v>18</v>
      </c>
      <c r="C15" t="s">
        <v>18</v>
      </c>
      <c r="D15" t="s">
        <v>32</v>
      </c>
      <c r="E15" t="s">
        <v>20</v>
      </c>
      <c r="F15" t="s">
        <v>21</v>
      </c>
      <c r="G15" t="s">
        <v>49</v>
      </c>
      <c r="H15" t="s">
        <v>50</v>
      </c>
      <c r="I15" t="s">
        <v>24</v>
      </c>
      <c r="J15" t="s">
        <v>20</v>
      </c>
      <c r="K15">
        <v>3</v>
      </c>
      <c r="L15" s="2">
        <v>580000</v>
      </c>
      <c r="M15" s="2">
        <f>K15*L15</f>
        <v>1740000</v>
      </c>
      <c r="N15" t="s">
        <v>36</v>
      </c>
      <c r="O15" t="s">
        <v>37</v>
      </c>
      <c r="P15" t="s">
        <v>20</v>
      </c>
      <c r="Q15" t="s">
        <v>27</v>
      </c>
      <c r="R15" t="s">
        <v>28</v>
      </c>
    </row>
    <row r="16" spans="1:18" x14ac:dyDescent="0.25">
      <c r="A16" s="1">
        <v>46262</v>
      </c>
      <c r="B16" t="s">
        <v>18</v>
      </c>
      <c r="C16" t="s">
        <v>18</v>
      </c>
      <c r="D16" t="s">
        <v>32</v>
      </c>
      <c r="E16" t="s">
        <v>20</v>
      </c>
      <c r="F16" t="s">
        <v>40</v>
      </c>
      <c r="G16" t="s">
        <v>41</v>
      </c>
      <c r="H16" t="s">
        <v>42</v>
      </c>
      <c r="I16" t="s">
        <v>43</v>
      </c>
      <c r="J16" t="s">
        <v>51</v>
      </c>
      <c r="K16">
        <v>1</v>
      </c>
      <c r="L16" s="2">
        <v>800000</v>
      </c>
      <c r="M16" s="2">
        <f>K16*L16</f>
        <v>800000</v>
      </c>
      <c r="N16" t="s">
        <v>36</v>
      </c>
      <c r="O16" t="s">
        <v>37</v>
      </c>
      <c r="P16" t="s">
        <v>20</v>
      </c>
      <c r="Q16" t="s">
        <v>27</v>
      </c>
      <c r="R16" t="s">
        <v>28</v>
      </c>
    </row>
    <row r="17" spans="1:18" x14ac:dyDescent="0.25">
      <c r="A17" s="1">
        <v>46265</v>
      </c>
      <c r="B17" t="s">
        <v>18</v>
      </c>
      <c r="C17" t="s">
        <v>18</v>
      </c>
      <c r="D17" t="s">
        <v>32</v>
      </c>
      <c r="E17" t="s">
        <v>20</v>
      </c>
      <c r="F17" t="s">
        <v>21</v>
      </c>
      <c r="G17" t="s">
        <v>52</v>
      </c>
      <c r="H17" t="s">
        <v>53</v>
      </c>
      <c r="I17" t="s">
        <v>24</v>
      </c>
      <c r="J17" t="s">
        <v>20</v>
      </c>
      <c r="K17">
        <v>3</v>
      </c>
      <c r="L17" s="2">
        <v>660000</v>
      </c>
      <c r="M17" s="2">
        <f>K17*L17</f>
        <v>1980000</v>
      </c>
      <c r="N17" t="s">
        <v>36</v>
      </c>
      <c r="O17" t="s">
        <v>37</v>
      </c>
      <c r="P17" t="s">
        <v>20</v>
      </c>
      <c r="Q17" t="s">
        <v>27</v>
      </c>
      <c r="R17" t="s">
        <v>28</v>
      </c>
    </row>
    <row r="18" spans="1:18" x14ac:dyDescent="0.25">
      <c r="A18" s="1">
        <v>46265</v>
      </c>
      <c r="B18" t="s">
        <v>18</v>
      </c>
      <c r="C18" t="s">
        <v>18</v>
      </c>
      <c r="D18" t="s">
        <v>32</v>
      </c>
      <c r="E18" t="s">
        <v>20</v>
      </c>
      <c r="F18" t="s">
        <v>21</v>
      </c>
      <c r="G18" t="s">
        <v>49</v>
      </c>
      <c r="H18" t="s">
        <v>50</v>
      </c>
      <c r="I18" t="s">
        <v>24</v>
      </c>
      <c r="J18" t="s">
        <v>20</v>
      </c>
      <c r="K18">
        <v>3</v>
      </c>
      <c r="L18" s="2">
        <v>580000</v>
      </c>
      <c r="M18" s="2">
        <f>K18*L18</f>
        <v>1740000</v>
      </c>
      <c r="N18" t="s">
        <v>36</v>
      </c>
      <c r="O18" t="s">
        <v>37</v>
      </c>
      <c r="P18" t="s">
        <v>20</v>
      </c>
      <c r="Q18" t="s">
        <v>27</v>
      </c>
      <c r="R18" t="s">
        <v>28</v>
      </c>
    </row>
    <row r="19" spans="1:18" x14ac:dyDescent="0.25">
      <c r="A19" s="1">
        <v>46265</v>
      </c>
      <c r="B19" t="s">
        <v>18</v>
      </c>
      <c r="C19" t="s">
        <v>18</v>
      </c>
      <c r="D19" t="s">
        <v>54</v>
      </c>
      <c r="E19" t="s">
        <v>20</v>
      </c>
      <c r="F19" t="s">
        <v>47</v>
      </c>
      <c r="G19" t="s">
        <v>55</v>
      </c>
      <c r="H19" t="s">
        <v>54</v>
      </c>
      <c r="I19" t="s">
        <v>31</v>
      </c>
      <c r="J19" t="s">
        <v>54</v>
      </c>
      <c r="K19">
        <v>1</v>
      </c>
      <c r="L19" s="2">
        <v>10000000</v>
      </c>
      <c r="M19" s="2">
        <f>K19*L19</f>
        <v>10000000</v>
      </c>
      <c r="N19" t="s">
        <v>56</v>
      </c>
      <c r="O19" t="s">
        <v>57</v>
      </c>
      <c r="P19" t="s">
        <v>20</v>
      </c>
      <c r="Q19" t="s">
        <v>27</v>
      </c>
      <c r="R19" t="s">
        <v>28</v>
      </c>
    </row>
    <row r="20" spans="1:18" x14ac:dyDescent="0.25">
      <c r="A20" s="1">
        <v>46249</v>
      </c>
      <c r="B20" t="s">
        <v>18</v>
      </c>
      <c r="C20" t="s">
        <v>18</v>
      </c>
      <c r="D20" t="s">
        <v>19</v>
      </c>
      <c r="E20" t="s">
        <v>20</v>
      </c>
      <c r="F20" t="s">
        <v>21</v>
      </c>
      <c r="G20" t="s">
        <v>58</v>
      </c>
      <c r="H20" t="s">
        <v>20</v>
      </c>
      <c r="I20" t="s">
        <v>20</v>
      </c>
      <c r="J20" t="s">
        <v>20</v>
      </c>
      <c r="K20">
        <v>12</v>
      </c>
      <c r="L20" s="2">
        <v>1760000</v>
      </c>
      <c r="M20" s="2">
        <f>K20*L20</f>
        <v>21120000</v>
      </c>
      <c r="N20" t="s">
        <v>25</v>
      </c>
      <c r="O20" t="s">
        <v>26</v>
      </c>
      <c r="P20" t="s">
        <v>20</v>
      </c>
      <c r="Q20" t="s">
        <v>59</v>
      </c>
      <c r="R20" t="s">
        <v>28</v>
      </c>
    </row>
    <row r="21" spans="1:18" x14ac:dyDescent="0.25">
      <c r="A21" s="1">
        <v>46254</v>
      </c>
      <c r="B21" t="s">
        <v>18</v>
      </c>
      <c r="C21" t="s">
        <v>18</v>
      </c>
      <c r="D21" t="s">
        <v>60</v>
      </c>
      <c r="E21" t="s">
        <v>20</v>
      </c>
      <c r="F21" t="s">
        <v>47</v>
      </c>
      <c r="G21" t="s">
        <v>61</v>
      </c>
      <c r="H21" t="s">
        <v>60</v>
      </c>
      <c r="I21" t="s">
        <v>31</v>
      </c>
      <c r="J21" t="s">
        <v>20</v>
      </c>
      <c r="K21">
        <v>1</v>
      </c>
      <c r="L21" s="2">
        <v>50000000</v>
      </c>
      <c r="M21" s="2">
        <f>K21*L21</f>
        <v>50000000</v>
      </c>
      <c r="N21" t="s">
        <v>62</v>
      </c>
      <c r="O21" t="s">
        <v>63</v>
      </c>
      <c r="P21" t="s">
        <v>20</v>
      </c>
      <c r="Q21" t="s">
        <v>27</v>
      </c>
      <c r="R21" t="s">
        <v>28</v>
      </c>
    </row>
    <row r="22" spans="1:18" x14ac:dyDescent="0.25">
      <c r="A22" s="1">
        <v>46265</v>
      </c>
      <c r="B22" t="s">
        <v>18</v>
      </c>
      <c r="C22" t="s">
        <v>18</v>
      </c>
      <c r="D22" t="s">
        <v>64</v>
      </c>
      <c r="E22" t="s">
        <v>20</v>
      </c>
      <c r="F22" t="s">
        <v>21</v>
      </c>
      <c r="G22" t="s">
        <v>65</v>
      </c>
      <c r="H22" t="s">
        <v>66</v>
      </c>
      <c r="I22" t="s">
        <v>31</v>
      </c>
      <c r="J22" t="s">
        <v>20</v>
      </c>
      <c r="K22">
        <v>1</v>
      </c>
      <c r="L22" s="2">
        <v>2018000</v>
      </c>
      <c r="M22" s="2">
        <f>K22*L22</f>
        <v>2018000</v>
      </c>
      <c r="N22" t="s">
        <v>67</v>
      </c>
      <c r="O22" t="s">
        <v>68</v>
      </c>
      <c r="P22" t="s">
        <v>20</v>
      </c>
      <c r="Q22" t="s">
        <v>27</v>
      </c>
      <c r="R22" t="s">
        <v>28</v>
      </c>
    </row>
    <row r="23" spans="1:18" x14ac:dyDescent="0.25">
      <c r="A23" s="1">
        <v>46265</v>
      </c>
      <c r="B23" t="s">
        <v>18</v>
      </c>
      <c r="C23" t="s">
        <v>18</v>
      </c>
      <c r="D23" t="s">
        <v>64</v>
      </c>
      <c r="E23" t="s">
        <v>20</v>
      </c>
      <c r="F23" t="s">
        <v>21</v>
      </c>
      <c r="G23" t="s">
        <v>65</v>
      </c>
      <c r="H23" t="s">
        <v>66</v>
      </c>
      <c r="I23" t="s">
        <v>31</v>
      </c>
      <c r="J23" t="s">
        <v>20</v>
      </c>
      <c r="K23">
        <v>1</v>
      </c>
      <c r="L23" s="2">
        <v>4212000</v>
      </c>
      <c r="M23" s="2">
        <f>K23*L23</f>
        <v>4212000</v>
      </c>
      <c r="N23" t="s">
        <v>67</v>
      </c>
      <c r="O23" t="s">
        <v>68</v>
      </c>
      <c r="P23" t="s">
        <v>20</v>
      </c>
      <c r="Q23" t="s">
        <v>27</v>
      </c>
      <c r="R2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NHATKYCHUNG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2026-09-30T12:28:05Z</dcterms:created>
  <dcterms:modified xsi:type="dcterms:W3CDTF">2026-09-30T12:28:05Z</dcterms:modified>
</cp:coreProperties>
</file>